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filterPrivacy="1" updateLinks="never" codeName="ThisWorkbook" defaultThemeVersion="166925"/>
  <xr:revisionPtr revIDLastSave="11" documentId="13_ncr:1_{D30A4D41-4E60-4A68-9149-261B463C966A}" xr6:coauthVersionLast="47" xr6:coauthVersionMax="47" xr10:uidLastSave="{8BF89604-3F86-42A7-A156-9C7A9C22DC97}"/>
  <bookViews>
    <workbookView xWindow="-110" yWindow="-110" windowWidth="19420" windowHeight="10300" tabRatio="745" xr2:uid="{16BE253D-4128-4396-8519-04D1C669B3A3}"/>
  </bookViews>
  <sheets>
    <sheet name="月" sheetId="74" r:id="rId1"/>
    <sheet name="リスト" sheetId="2" r:id="rId2"/>
  </sheets>
  <functionGroups builtInGroupCount="19"/>
  <definedNames>
    <definedName name="cellcolor">GET.CELL(63,!$A1048560)+NOW()*0</definedName>
    <definedName name="_xlnm.Print_Area" localSheetId="0">月!$A$1:$AL$8</definedName>
    <definedName name="祝日" localSheetId="1">リスト!$A$1:$A$27</definedName>
    <definedName name="祝日">リスト!$A$1:$A$27</definedName>
    <definedName name="担当">リスト!#REF!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7" i="74" l="1"/>
  <c r="AJ7" i="74"/>
  <c r="AI7" i="74"/>
  <c r="AH7" i="74"/>
  <c r="AK6" i="74"/>
  <c r="AJ6" i="74"/>
  <c r="AI6" i="74"/>
  <c r="AH6" i="74"/>
  <c r="AK5" i="74"/>
  <c r="AJ5" i="74"/>
  <c r="AI5" i="74"/>
  <c r="AH5" i="74"/>
  <c r="C3" i="74"/>
  <c r="D3" i="74" s="1"/>
  <c r="C4" i="74" l="1"/>
  <c r="D4" i="74"/>
  <c r="E3" i="74"/>
  <c r="F3" i="74" s="1"/>
  <c r="F4" i="74" s="1"/>
  <c r="E4" i="74" l="1"/>
  <c r="G3" i="74"/>
  <c r="G4" i="74" s="1"/>
  <c r="H3" i="74" l="1"/>
  <c r="H4" i="74" s="1"/>
  <c r="I3" i="74" l="1"/>
  <c r="J3" i="74" s="1"/>
  <c r="I4" i="74" l="1"/>
  <c r="K3" i="74"/>
  <c r="J4" i="74"/>
  <c r="L3" i="74" l="1"/>
  <c r="K4" i="74"/>
  <c r="M3" i="74" l="1"/>
  <c r="L4" i="74"/>
  <c r="N3" i="74" l="1"/>
  <c r="M4" i="74"/>
  <c r="N4" i="74" l="1"/>
  <c r="O3" i="74"/>
  <c r="O4" i="74" l="1"/>
  <c r="P3" i="74"/>
  <c r="P4" i="74" l="1"/>
  <c r="Q3" i="74"/>
  <c r="R3" i="74" l="1"/>
  <c r="Q4" i="74"/>
  <c r="S3" i="74" l="1"/>
  <c r="R4" i="74"/>
  <c r="T3" i="74" l="1"/>
  <c r="S4" i="74"/>
  <c r="U3" i="74" l="1"/>
  <c r="T4" i="74"/>
  <c r="V3" i="74" l="1"/>
  <c r="U4" i="74"/>
  <c r="V4" i="74" l="1"/>
  <c r="W3" i="74"/>
  <c r="W4" i="74" l="1"/>
  <c r="X3" i="74"/>
  <c r="X4" i="74" l="1"/>
  <c r="Y3" i="74"/>
  <c r="Z3" i="74" l="1"/>
  <c r="Y4" i="74"/>
  <c r="AA3" i="74" l="1"/>
  <c r="Z4" i="74"/>
  <c r="AB3" i="74" l="1"/>
  <c r="AA4" i="74"/>
  <c r="AC3" i="74" l="1"/>
  <c r="AB4" i="74"/>
  <c r="AD3" i="74" l="1"/>
  <c r="AE3" i="74" s="1"/>
  <c r="AF3" i="74" s="1"/>
  <c r="AC4" i="74"/>
  <c r="AD4" i="74" l="1"/>
  <c r="AE4" i="74" l="1"/>
  <c r="AF4" i="74" l="1"/>
  <c r="AG3" i="74"/>
  <c r="AG4" i="74" s="1"/>
</calcChain>
</file>

<file path=xl/sharedStrings.xml><?xml version="1.0" encoding="utf-8"?>
<sst xmlns="http://schemas.openxmlformats.org/spreadsheetml/2006/main" count="33" uniqueCount="31">
  <si>
    <t>年</t>
    <rPh sb="0" eb="1">
      <t>ネン</t>
    </rPh>
    <phoneticPr fontId="1"/>
  </si>
  <si>
    <t>月</t>
    <rPh sb="0" eb="1">
      <t>ツキ</t>
    </rPh>
    <phoneticPr fontId="1"/>
  </si>
  <si>
    <t>昭和の日</t>
  </si>
  <si>
    <t>憲法記念日</t>
  </si>
  <si>
    <t>みどりの日</t>
  </si>
  <si>
    <t>こどもの日</t>
  </si>
  <si>
    <t>海の日</t>
  </si>
  <si>
    <t>スポーツの日</t>
  </si>
  <si>
    <t>山の日</t>
  </si>
  <si>
    <t>敬老の日</t>
  </si>
  <si>
    <t>秋分の日</t>
  </si>
  <si>
    <t>文化の日</t>
  </si>
  <si>
    <t>勤労感謝の日</t>
  </si>
  <si>
    <t>No</t>
    <phoneticPr fontId="1"/>
  </si>
  <si>
    <t>公</t>
    <rPh sb="0" eb="1">
      <t>コウ</t>
    </rPh>
    <phoneticPr fontId="1"/>
  </si>
  <si>
    <t>休</t>
    <rPh sb="0" eb="1">
      <t>ヤス</t>
    </rPh>
    <phoneticPr fontId="1"/>
  </si>
  <si>
    <r>
      <rPr>
        <b/>
        <sz val="11"/>
        <color rgb="FF333333"/>
        <rFont val="游ゴシック"/>
        <family val="2"/>
        <charset val="128"/>
      </rPr>
      <t>休</t>
    </r>
    <rPh sb="0" eb="1">
      <t>ヤス</t>
    </rPh>
    <phoneticPr fontId="1"/>
  </si>
  <si>
    <t>有</t>
    <rPh sb="0" eb="1">
      <t>アリ</t>
    </rPh>
    <phoneticPr fontId="1"/>
  </si>
  <si>
    <t>慶</t>
    <rPh sb="0" eb="1">
      <t>ケイ</t>
    </rPh>
    <phoneticPr fontId="1"/>
  </si>
  <si>
    <t>休日日数</t>
    <rPh sb="0" eb="2">
      <t>キュウジツ</t>
    </rPh>
    <rPh sb="2" eb="4">
      <t>ニッスウ</t>
    </rPh>
    <phoneticPr fontId="1"/>
  </si>
  <si>
    <t>祝日</t>
    <rPh sb="0" eb="2">
      <t>シュクジツ</t>
    </rPh>
    <phoneticPr fontId="12"/>
  </si>
  <si>
    <t>出</t>
    <rPh sb="0" eb="1">
      <t>シュツ</t>
    </rPh>
    <phoneticPr fontId="1"/>
  </si>
  <si>
    <t>祝日法第3条第2項による休日</t>
    <rPh sb="0" eb="3">
      <t>シュクジツホウ</t>
    </rPh>
    <phoneticPr fontId="1"/>
  </si>
  <si>
    <t>元日</t>
    <rPh sb="0" eb="2">
      <t>ガンジツ</t>
    </rPh>
    <phoneticPr fontId="1"/>
  </si>
  <si>
    <t>成人の日</t>
    <rPh sb="0" eb="2">
      <t>セイジン</t>
    </rPh>
    <rPh sb="3" eb="4">
      <t>ヒ</t>
    </rPh>
    <phoneticPr fontId="1"/>
  </si>
  <si>
    <t>建国記念の日</t>
    <rPh sb="0" eb="2">
      <t>ケンコク</t>
    </rPh>
    <rPh sb="2" eb="4">
      <t>キネン</t>
    </rPh>
    <rPh sb="5" eb="6">
      <t>ヒ</t>
    </rPh>
    <phoneticPr fontId="1"/>
  </si>
  <si>
    <t>天皇誕生日</t>
    <rPh sb="0" eb="2">
      <t>テンノウ</t>
    </rPh>
    <rPh sb="2" eb="5">
      <t>タンジョウビ</t>
    </rPh>
    <phoneticPr fontId="1"/>
  </si>
  <si>
    <t>春分の日</t>
    <rPh sb="0" eb="2">
      <t>シュンブン</t>
    </rPh>
    <rPh sb="3" eb="4">
      <t>ヒ</t>
    </rPh>
    <phoneticPr fontId="1"/>
  </si>
  <si>
    <t>名前</t>
    <rPh sb="0" eb="2">
      <t>ナマエ</t>
    </rPh>
    <phoneticPr fontId="1"/>
  </si>
  <si>
    <t>出勤</t>
    <rPh sb="0" eb="2">
      <t>シュッキン</t>
    </rPh>
    <phoneticPr fontId="1"/>
  </si>
  <si>
    <t>休み</t>
    <rPh sb="0" eb="1">
      <t>ヤス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</si>
</sst>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aaa"/>
    <numFmt numFmtId="177" formatCode="d"/>
  </numFmts>
  <fonts count="2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333333"/>
      <name val="Arial"/>
      <family val="2"/>
    </font>
    <font>
      <sz val="11"/>
      <color rgb="FF333333"/>
      <name val="Arial"/>
      <family val="2"/>
    </font>
    <font>
      <b/>
      <sz val="11"/>
      <color rgb="FF333333"/>
      <name val="游ゴシック"/>
      <family val="2"/>
      <charset val="128"/>
    </font>
    <font>
      <sz val="11"/>
      <color indexed="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sz val="11"/>
      <color theme="1"/>
      <name val="ＭＳ Ｐゴシック"/>
      <family val="3"/>
      <charset val="128"/>
    </font>
    <font>
      <sz val="11"/>
      <color indexed="8"/>
      <name val="Arial"/>
      <family val="2"/>
    </font>
    <font>
      <sz val="11"/>
      <color theme="1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/>
      <right style="dotted">
        <color theme="0" tint="-0.14999847407452621"/>
      </right>
      <top/>
      <bottom/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/>
      <top/>
      <bottom style="medium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 style="medium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 tint="-0.34998626667073579"/>
      </top>
      <bottom style="medium">
        <color theme="0" tint="-0.34998626667073579"/>
      </bottom>
      <diagonal/>
    </border>
    <border>
      <left style="medium">
        <color indexed="64"/>
      </left>
      <right style="medium">
        <color theme="0" tint="-0.34998626667073579"/>
      </right>
      <top style="medium">
        <color indexed="64"/>
      </top>
      <bottom style="medium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indexed="64"/>
      </top>
      <bottom style="medium">
        <color theme="0" tint="-0.34998626667073579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</borders>
  <cellStyleXfs count="4">
    <xf numFmtId="0" fontId="0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11" fillId="0" borderId="0">
      <alignment vertical="center"/>
    </xf>
    <xf numFmtId="0" fontId="8" fillId="0" borderId="0">
      <alignment vertical="center"/>
    </xf>
  </cellStyleXfs>
  <cellXfs count="53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56" fontId="3" fillId="0" borderId="1" xfId="0" applyNumberFormat="1" applyFont="1" applyBorder="1" applyAlignment="1">
      <alignment vertical="center" wrapText="1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6" fillId="0" borderId="0" xfId="2" applyFont="1" applyAlignment="1">
      <alignment horizontal="center" vertical="center"/>
    </xf>
    <xf numFmtId="0" fontId="0" fillId="0" borderId="4" xfId="0" applyBorder="1">
      <alignment vertical="center"/>
    </xf>
    <xf numFmtId="177" fontId="0" fillId="0" borderId="5" xfId="0" applyNumberFormat="1" applyBorder="1" applyAlignment="1">
      <alignment horizontal="center" vertical="center"/>
    </xf>
    <xf numFmtId="0" fontId="0" fillId="0" borderId="5" xfId="0" applyBorder="1">
      <alignment vertical="center"/>
    </xf>
    <xf numFmtId="176" fontId="0" fillId="0" borderId="5" xfId="0" applyNumberForma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right" vertical="center"/>
    </xf>
    <xf numFmtId="49" fontId="16" fillId="0" borderId="5" xfId="0" applyNumberFormat="1" applyFont="1" applyBorder="1" applyAlignment="1">
      <alignment horizontal="center" vertical="center" shrinkToFit="1"/>
    </xf>
    <xf numFmtId="0" fontId="8" fillId="0" borderId="5" xfId="1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0" fillId="0" borderId="1" xfId="0" applyNumberFormat="1" applyBorder="1">
      <alignment vertical="center"/>
    </xf>
    <xf numFmtId="14" fontId="8" fillId="0" borderId="1" xfId="3" applyNumberFormat="1" applyBorder="1">
      <alignment vertical="center"/>
    </xf>
    <xf numFmtId="0" fontId="8" fillId="0" borderId="1" xfId="3" applyBorder="1">
      <alignment vertical="center"/>
    </xf>
    <xf numFmtId="0" fontId="15" fillId="0" borderId="0" xfId="0" applyFont="1">
      <alignment vertical="center"/>
    </xf>
    <xf numFmtId="0" fontId="9" fillId="0" borderId="0" xfId="0" applyFont="1">
      <alignment vertical="center"/>
    </xf>
    <xf numFmtId="56" fontId="0" fillId="0" borderId="0" xfId="0" applyNumberFormat="1">
      <alignment vertical="center"/>
    </xf>
    <xf numFmtId="0" fontId="8" fillId="0" borderId="5" xfId="0" applyFont="1" applyBorder="1" applyAlignment="1">
      <alignment horizontal="center" vertical="center"/>
    </xf>
    <xf numFmtId="49" fontId="8" fillId="0" borderId="5" xfId="0" applyNumberFormat="1" applyFont="1" applyBorder="1" applyAlignment="1">
      <alignment horizontal="center" vertical="center"/>
    </xf>
    <xf numFmtId="49" fontId="13" fillId="0" borderId="5" xfId="0" applyNumberFormat="1" applyFont="1" applyBorder="1" applyAlignment="1">
      <alignment horizontal="center" vertical="center"/>
    </xf>
    <xf numFmtId="0" fontId="20" fillId="0" borderId="2" xfId="0" applyFont="1" applyBorder="1" applyAlignment="1">
      <alignment horizontal="centerContinuous" vertical="center"/>
    </xf>
    <xf numFmtId="0" fontId="20" fillId="0" borderId="9" xfId="0" applyFont="1" applyBorder="1" applyAlignment="1">
      <alignment horizontal="centerContinuous" vertical="center"/>
    </xf>
    <xf numFmtId="49" fontId="8" fillId="0" borderId="5" xfId="1" applyNumberFormat="1" applyFont="1" applyBorder="1" applyAlignment="1">
      <alignment horizontal="center" vertical="center"/>
    </xf>
    <xf numFmtId="176" fontId="17" fillId="0" borderId="5" xfId="0" applyNumberFormat="1" applyFont="1" applyBorder="1" applyAlignment="1">
      <alignment horizontal="center" vertical="center"/>
    </xf>
    <xf numFmtId="177" fontId="21" fillId="0" borderId="5" xfId="0" applyNumberFormat="1" applyFont="1" applyBorder="1" applyAlignment="1">
      <alignment horizontal="center" vertical="center"/>
    </xf>
    <xf numFmtId="176" fontId="22" fillId="0" borderId="5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19" fillId="4" borderId="13" xfId="0" applyFont="1" applyFill="1" applyBorder="1" applyAlignment="1">
      <alignment vertical="center" shrinkToFit="1"/>
    </xf>
    <xf numFmtId="0" fontId="18" fillId="0" borderId="13" xfId="0" applyFont="1" applyBorder="1" applyAlignment="1">
      <alignment vertical="center" shrinkToFit="1"/>
    </xf>
    <xf numFmtId="0" fontId="0" fillId="0" borderId="14" xfId="0" applyBorder="1">
      <alignment vertical="center"/>
    </xf>
    <xf numFmtId="0" fontId="19" fillId="4" borderId="0" xfId="0" applyFont="1" applyFill="1" applyAlignment="1">
      <alignment vertical="center" shrinkToFit="1"/>
    </xf>
    <xf numFmtId="0" fontId="18" fillId="0" borderId="0" xfId="0" applyFont="1" applyAlignment="1">
      <alignment vertical="center" shrinkToFit="1"/>
    </xf>
    <xf numFmtId="0" fontId="0" fillId="0" borderId="14" xfId="0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18" fillId="0" borderId="6" xfId="0" applyFont="1" applyBorder="1" applyAlignment="1">
      <alignment vertical="center" shrinkToFit="1"/>
    </xf>
    <xf numFmtId="0" fontId="0" fillId="0" borderId="1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3" xfId="0" applyBorder="1">
      <alignment vertical="center"/>
    </xf>
    <xf numFmtId="0" fontId="10" fillId="0" borderId="6" xfId="0" applyFont="1" applyBorder="1" applyAlignment="1">
      <alignment horizontal="left" vertical="center"/>
    </xf>
  </cellXfs>
  <cellStyles count="4">
    <cellStyle name="パーセント" xfId="1" builtinId="5"/>
    <cellStyle name="標準" xfId="0" builtinId="0"/>
    <cellStyle name="標準 2" xfId="2" xr:uid="{42AF158A-0DDF-4748-85DE-8BD721CD4752}"/>
    <cellStyle name="標準 3" xfId="3" xr:uid="{AF4FCD08-D2B5-49BF-8BDC-02B9C21C659A}"/>
  </cellStyles>
  <dxfs count="46">
    <dxf>
      <fill>
        <patternFill patternType="lightGray">
          <fgColor theme="0" tint="-0.24994659260841701"/>
        </patternFill>
      </fill>
    </dxf>
    <dxf>
      <fill>
        <patternFill patternType="lightGray">
          <fgColor theme="0" tint="-0.24994659260841701"/>
          <bgColor theme="0"/>
        </patternFill>
      </fill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Gray">
          <fgColor theme="0" tint="-0.499984740745262"/>
        </patternFill>
      </fill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rgb="FFED7D31"/>
        </patternFill>
      </fill>
    </dxf>
    <dxf>
      <font>
        <color theme="7" tint="0.39994506668294322"/>
      </font>
      <fill>
        <patternFill>
          <bgColor theme="1"/>
        </patternFill>
      </fill>
    </dxf>
    <dxf>
      <font>
        <color theme="1"/>
      </font>
      <fill>
        <patternFill>
          <bgColor rgb="FFFFCC00"/>
        </patternFill>
      </fill>
    </dxf>
    <dxf>
      <font>
        <color theme="1"/>
      </font>
      <fill>
        <patternFill>
          <bgColor rgb="FFF4B084"/>
        </patternFill>
      </fill>
    </dxf>
    <dxf>
      <font>
        <color theme="0"/>
      </font>
      <fill>
        <patternFill>
          <bgColor rgb="FF3366FF"/>
        </patternFill>
      </fill>
    </dxf>
    <dxf>
      <font>
        <color theme="1"/>
      </font>
      <fill>
        <patternFill>
          <bgColor theme="8" tint="0.59996337778862885"/>
        </patternFill>
      </fill>
    </dxf>
    <dxf>
      <font>
        <color theme="1"/>
      </font>
      <fill>
        <patternFill>
          <bgColor theme="8" tint="0.59996337778862885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</dxf>
    <dxf>
      <font>
        <color theme="1"/>
      </font>
      <fill>
        <patternFill>
          <bgColor theme="8" tint="0.59996337778862885"/>
        </patternFill>
      </fill>
    </dxf>
    <dxf>
      <font>
        <color rgb="FFFF0000"/>
        <name val="游ゴシック Light"/>
        <family val="3"/>
        <charset val="128"/>
        <scheme val="none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theme="4"/>
      </font>
      <fill>
        <patternFill patternType="none">
          <bgColor auto="1"/>
        </patternFill>
      </fill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theme="4"/>
      </font>
    </dxf>
    <dxf>
      <fill>
        <patternFill patternType="lightGray">
          <fgColor theme="0" tint="-0.24994659260841701"/>
        </patternFill>
      </fill>
    </dxf>
    <dxf>
      <fill>
        <patternFill patternType="lightGray">
          <fgColor theme="0" tint="-0.24994659260841701"/>
          <bgColor theme="0"/>
        </patternFill>
      </fill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lightGray">
          <fgColor theme="0" tint="-0.499984740745262"/>
        </patternFill>
      </fill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fill>
        <patternFill>
          <bgColor rgb="FFED7D31"/>
        </patternFill>
      </fill>
    </dxf>
    <dxf>
      <font>
        <color theme="1"/>
      </font>
      <fill>
        <patternFill>
          <bgColor rgb="FFF4B084"/>
        </patternFill>
      </fill>
    </dxf>
    <dxf>
      <font>
        <color theme="0"/>
      </font>
      <fill>
        <patternFill>
          <bgColor rgb="FF3366FF"/>
        </patternFill>
      </fill>
    </dxf>
    <dxf>
      <font>
        <color theme="1"/>
      </font>
      <fill>
        <patternFill>
          <bgColor theme="8" tint="0.59996337778862885"/>
        </patternFill>
      </fill>
    </dxf>
    <dxf>
      <font>
        <color theme="1"/>
      </font>
      <fill>
        <patternFill>
          <bgColor theme="8" tint="0.59996337778862885"/>
        </patternFill>
      </fill>
    </dxf>
    <dxf>
      <font>
        <color theme="1"/>
      </font>
      <fill>
        <patternFill>
          <bgColor theme="9" tint="0.59996337778862885"/>
        </patternFill>
      </fill>
    </dxf>
    <dxf>
      <font>
        <color theme="1"/>
      </font>
    </dxf>
    <dxf>
      <font>
        <color theme="1"/>
      </font>
      <fill>
        <patternFill>
          <bgColor theme="8" tint="0.59996337778862885"/>
        </patternFill>
      </fill>
    </dxf>
    <dxf>
      <font>
        <color rgb="FFFF0000"/>
        <name val="游ゴシック Light"/>
        <family val="3"/>
        <charset val="128"/>
        <scheme val="none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theme="4"/>
      </font>
      <fill>
        <patternFill patternType="none">
          <bgColor auto="1"/>
        </patternFill>
      </fill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theme="4"/>
      </font>
    </dxf>
  </dxfs>
  <tableStyles count="0" defaultTableStyle="TableStyleMedium2" defaultPivotStyle="PivotStyleLight16"/>
  <colors>
    <mruColors>
      <color rgb="FFC198E0"/>
      <color rgb="FFFFCC66"/>
      <color rgb="FFFF9999"/>
      <color rgb="FFF4B084"/>
      <color rgb="FFFFCCFF"/>
      <color rgb="FF66FFFF"/>
      <color rgb="FF66FF33"/>
      <color rgb="FFE81212"/>
      <color rgb="FF3366FF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CFB3D-525A-4491-B6FB-6012CE6C9D48}">
  <sheetPr codeName="Sheet51">
    <pageSetUpPr fitToPage="1"/>
  </sheetPr>
  <dimension ref="A1:AL17"/>
  <sheetViews>
    <sheetView tabSelected="1" zoomScale="160" zoomScaleNormal="160" zoomScaleSheetLayoutView="115" workbookViewId="0">
      <pane ySplit="4" topLeftCell="A5" activePane="bottomLeft" state="frozen"/>
      <selection pane="bottomLeft" activeCell="G4" sqref="G4"/>
    </sheetView>
  </sheetViews>
  <sheetFormatPr defaultColWidth="8.75" defaultRowHeight="18" x14ac:dyDescent="0.55000000000000004"/>
  <cols>
    <col min="1" max="1" width="3.33203125" customWidth="1"/>
    <col min="2" max="2" width="5.5" bestFit="1" customWidth="1"/>
    <col min="3" max="33" width="4" customWidth="1"/>
    <col min="34" max="34" width="5.5" bestFit="1" customWidth="1"/>
    <col min="35" max="35" width="4.33203125" bestFit="1" customWidth="1"/>
    <col min="36" max="36" width="3.5" bestFit="1" customWidth="1"/>
    <col min="37" max="37" width="3.58203125" bestFit="1" customWidth="1"/>
    <col min="38" max="38" width="4.83203125" customWidth="1"/>
  </cols>
  <sheetData>
    <row r="1" spans="1:38" ht="22" customHeight="1" thickBot="1" x14ac:dyDescent="0.6">
      <c r="A1" s="35"/>
      <c r="B1" s="36">
        <v>2025</v>
      </c>
      <c r="C1" s="36" t="s">
        <v>0</v>
      </c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51"/>
      <c r="U1" s="51"/>
      <c r="V1" s="51"/>
      <c r="W1" s="37"/>
      <c r="X1" s="37"/>
      <c r="Y1" s="37"/>
      <c r="Z1" s="37"/>
      <c r="AA1" s="37"/>
      <c r="AB1" s="37"/>
      <c r="AC1" s="37"/>
      <c r="AD1" s="37"/>
      <c r="AE1" s="39"/>
      <c r="AF1" s="39"/>
      <c r="AG1" s="39"/>
      <c r="AH1" s="39" t="s">
        <v>29</v>
      </c>
      <c r="AI1" s="38"/>
      <c r="AJ1" s="39"/>
      <c r="AK1" s="39"/>
      <c r="AL1" s="37"/>
    </row>
    <row r="2" spans="1:38" ht="22" customHeight="1" thickBot="1" x14ac:dyDescent="0.6">
      <c r="A2" s="40"/>
      <c r="B2" s="12">
        <v>1</v>
      </c>
      <c r="C2" s="12" t="s">
        <v>1</v>
      </c>
      <c r="T2" s="52"/>
      <c r="U2" s="52"/>
      <c r="V2" s="52"/>
      <c r="AC2" s="10"/>
      <c r="AE2" s="45"/>
      <c r="AF2" s="45"/>
      <c r="AG2" s="45"/>
      <c r="AH2" s="45" t="s">
        <v>30</v>
      </c>
      <c r="AI2" s="41"/>
      <c r="AJ2" s="45"/>
      <c r="AK2" s="42"/>
    </row>
    <row r="3" spans="1:38" ht="15" customHeight="1" thickBot="1" x14ac:dyDescent="0.6">
      <c r="A3" s="46" t="s">
        <v>13</v>
      </c>
      <c r="B3" s="47" t="s">
        <v>28</v>
      </c>
      <c r="C3" s="11">
        <f>DATE($B$1,$B$2,1)</f>
        <v>45658</v>
      </c>
      <c r="D3" s="11">
        <f t="shared" ref="D3:AG3" si="0">IF(C3="","",IF(MONTH(C3+1)=$B$2,C3+1,""))</f>
        <v>45659</v>
      </c>
      <c r="E3" s="11">
        <f t="shared" si="0"/>
        <v>45660</v>
      </c>
      <c r="F3" s="11">
        <f t="shared" si="0"/>
        <v>45661</v>
      </c>
      <c r="G3" s="11">
        <f t="shared" si="0"/>
        <v>45662</v>
      </c>
      <c r="H3" s="11">
        <f t="shared" si="0"/>
        <v>45663</v>
      </c>
      <c r="I3" s="11">
        <f t="shared" si="0"/>
        <v>45664</v>
      </c>
      <c r="J3" s="11">
        <f t="shared" si="0"/>
        <v>45665</v>
      </c>
      <c r="K3" s="11">
        <f t="shared" si="0"/>
        <v>45666</v>
      </c>
      <c r="L3" s="11">
        <f t="shared" si="0"/>
        <v>45667</v>
      </c>
      <c r="M3" s="11">
        <f t="shared" si="0"/>
        <v>45668</v>
      </c>
      <c r="N3" s="11">
        <f t="shared" si="0"/>
        <v>45669</v>
      </c>
      <c r="O3" s="11">
        <f t="shared" si="0"/>
        <v>45670</v>
      </c>
      <c r="P3" s="11">
        <f t="shared" si="0"/>
        <v>45671</v>
      </c>
      <c r="Q3" s="11">
        <f t="shared" si="0"/>
        <v>45672</v>
      </c>
      <c r="R3" s="11">
        <f t="shared" si="0"/>
        <v>45673</v>
      </c>
      <c r="S3" s="11">
        <f t="shared" si="0"/>
        <v>45674</v>
      </c>
      <c r="T3" s="11">
        <f t="shared" si="0"/>
        <v>45675</v>
      </c>
      <c r="U3" s="11">
        <f t="shared" si="0"/>
        <v>45676</v>
      </c>
      <c r="V3" s="11">
        <f t="shared" si="0"/>
        <v>45677</v>
      </c>
      <c r="W3" s="32">
        <f t="shared" si="0"/>
        <v>45678</v>
      </c>
      <c r="X3" s="11">
        <f t="shared" si="0"/>
        <v>45679</v>
      </c>
      <c r="Y3" s="11">
        <f t="shared" si="0"/>
        <v>45680</v>
      </c>
      <c r="Z3" s="11">
        <f t="shared" si="0"/>
        <v>45681</v>
      </c>
      <c r="AA3" s="11">
        <f t="shared" si="0"/>
        <v>45682</v>
      </c>
      <c r="AB3" s="11">
        <f t="shared" si="0"/>
        <v>45683</v>
      </c>
      <c r="AC3" s="11">
        <f t="shared" si="0"/>
        <v>45684</v>
      </c>
      <c r="AD3" s="11">
        <f t="shared" si="0"/>
        <v>45685</v>
      </c>
      <c r="AE3" s="11">
        <f t="shared" si="0"/>
        <v>45686</v>
      </c>
      <c r="AF3" s="11">
        <f t="shared" si="0"/>
        <v>45687</v>
      </c>
      <c r="AG3" s="11">
        <f t="shared" si="0"/>
        <v>45688</v>
      </c>
      <c r="AH3" s="48" t="s">
        <v>19</v>
      </c>
      <c r="AI3" s="49"/>
      <c r="AJ3" s="50"/>
      <c r="AK3" s="44"/>
    </row>
    <row r="4" spans="1:38" ht="15" customHeight="1" thickBot="1" x14ac:dyDescent="0.6">
      <c r="A4" s="46"/>
      <c r="B4" s="47"/>
      <c r="C4" s="31">
        <f t="shared" ref="C4:AG4" si="1">C3</f>
        <v>45658</v>
      </c>
      <c r="D4" s="31">
        <f t="shared" si="1"/>
        <v>45659</v>
      </c>
      <c r="E4" s="31">
        <f t="shared" si="1"/>
        <v>45660</v>
      </c>
      <c r="F4" s="31">
        <f t="shared" si="1"/>
        <v>45661</v>
      </c>
      <c r="G4" s="31">
        <f t="shared" si="1"/>
        <v>45662</v>
      </c>
      <c r="H4" s="31">
        <f t="shared" si="1"/>
        <v>45663</v>
      </c>
      <c r="I4" s="31">
        <f t="shared" si="1"/>
        <v>45664</v>
      </c>
      <c r="J4" s="31">
        <f t="shared" si="1"/>
        <v>45665</v>
      </c>
      <c r="K4" s="31">
        <f t="shared" si="1"/>
        <v>45666</v>
      </c>
      <c r="L4" s="31">
        <f t="shared" si="1"/>
        <v>45667</v>
      </c>
      <c r="M4" s="31">
        <f t="shared" si="1"/>
        <v>45668</v>
      </c>
      <c r="N4" s="31">
        <f t="shared" si="1"/>
        <v>45669</v>
      </c>
      <c r="O4" s="31">
        <f t="shared" si="1"/>
        <v>45670</v>
      </c>
      <c r="P4" s="31">
        <f t="shared" si="1"/>
        <v>45671</v>
      </c>
      <c r="Q4" s="31">
        <f t="shared" si="1"/>
        <v>45672</v>
      </c>
      <c r="R4" s="31">
        <f t="shared" si="1"/>
        <v>45673</v>
      </c>
      <c r="S4" s="31">
        <f t="shared" si="1"/>
        <v>45674</v>
      </c>
      <c r="T4" s="31">
        <f t="shared" si="1"/>
        <v>45675</v>
      </c>
      <c r="U4" s="31">
        <f t="shared" si="1"/>
        <v>45676</v>
      </c>
      <c r="V4" s="31">
        <f t="shared" si="1"/>
        <v>45677</v>
      </c>
      <c r="W4" s="33">
        <f t="shared" si="1"/>
        <v>45678</v>
      </c>
      <c r="X4" s="31">
        <f t="shared" si="1"/>
        <v>45679</v>
      </c>
      <c r="Y4" s="31">
        <f t="shared" si="1"/>
        <v>45680</v>
      </c>
      <c r="Z4" s="31">
        <f t="shared" si="1"/>
        <v>45681</v>
      </c>
      <c r="AA4" s="31">
        <f t="shared" si="1"/>
        <v>45682</v>
      </c>
      <c r="AB4" s="31">
        <f t="shared" si="1"/>
        <v>45683</v>
      </c>
      <c r="AC4" s="31">
        <f t="shared" si="1"/>
        <v>45684</v>
      </c>
      <c r="AD4" s="31">
        <f t="shared" si="1"/>
        <v>45685</v>
      </c>
      <c r="AE4" s="13">
        <f t="shared" si="1"/>
        <v>45686</v>
      </c>
      <c r="AF4" s="13">
        <f t="shared" si="1"/>
        <v>45687</v>
      </c>
      <c r="AG4" s="13">
        <f t="shared" si="1"/>
        <v>45688</v>
      </c>
      <c r="AH4" s="14" t="s">
        <v>15</v>
      </c>
      <c r="AI4" s="7" t="s">
        <v>17</v>
      </c>
      <c r="AJ4" s="6" t="s">
        <v>14</v>
      </c>
      <c r="AK4" s="25" t="s">
        <v>21</v>
      </c>
    </row>
    <row r="5" spans="1:38" ht="22" customHeight="1" thickBot="1" x14ac:dyDescent="0.6">
      <c r="A5" s="43">
        <v>1</v>
      </c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27">
        <f t="shared" ref="AH5:AH6" si="2">COUNTIF(C5:AG5,"公")+COUNTIF(C5:AG5,"優")+COUNTIF(C5:AG5,"有")+COUNTIF(C5:AG5,"前有")*0.5+COUNTIF(C5:AG5,"後有")*0.5</f>
        <v>0</v>
      </c>
      <c r="AI5" s="30">
        <f t="shared" ref="AI5:AI6" si="3">COUNTIF(C5:AG5,"有")+COUNTIF(C5:AG5,"前有")*0.5+COUNTIF(C5:AG5,"後有")*0.5</f>
        <v>0</v>
      </c>
      <c r="AJ5" s="17">
        <f>COUNTIF(C5:AG5,"公")</f>
        <v>0</v>
      </c>
      <c r="AK5" s="26">
        <f>COUNTIF(C5:AG5,"*在*")+COUNTIF(C5:AG5,"*0*")+COUNTBLANK(C5:AG5)+COUNTIF(C5:AG5,"*有*")</f>
        <v>31</v>
      </c>
    </row>
    <row r="6" spans="1:38" ht="22" customHeight="1" thickBot="1" x14ac:dyDescent="0.6">
      <c r="A6" s="43">
        <v>2</v>
      </c>
      <c r="B6" s="1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27">
        <f t="shared" si="2"/>
        <v>0</v>
      </c>
      <c r="AI6" s="30">
        <f t="shared" si="3"/>
        <v>0</v>
      </c>
      <c r="AJ6" s="17">
        <f>COUNTIF(C6:AG6,"公")</f>
        <v>0</v>
      </c>
      <c r="AK6" s="26">
        <f>COUNTIF(C6:AG6,"*在*")+COUNTIF(C6:AG6,"*0*")+COUNTBLANK(C6:AG6)+COUNTIF(C6:AG6,"*有*")</f>
        <v>31</v>
      </c>
    </row>
    <row r="7" spans="1:38" ht="22" customHeight="1" thickBot="1" x14ac:dyDescent="0.6">
      <c r="A7" s="43">
        <v>3</v>
      </c>
      <c r="B7" s="15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27">
        <f>COUNTIF(C7:AG7,"公")+COUNTIF(C7:AG7,"優")+COUNTIF(C7:AG7,"有")+COUNTIF(C7:AG7,"前有")*0.5+COUNTIF(C7:AG7,"後有")*0.5</f>
        <v>0</v>
      </c>
      <c r="AI7" s="30">
        <f>COUNTIF(C7:AG7,"有")+COUNTIF(C7:AG7,"前有")*0.5+COUNTIF(C7:AG7,"後有")*0.5</f>
        <v>0</v>
      </c>
      <c r="AJ7" s="17">
        <f>COUNTIF(C7:AG7,"公")</f>
        <v>0</v>
      </c>
      <c r="AK7" s="26">
        <f>COUNTIF(C7:AG7,"*在*")+COUNTIF(C7:AG7,"*0*")+COUNTBLANK(C7:AG7)+COUNTIF(C7:AG7,"*有*")</f>
        <v>31</v>
      </c>
    </row>
    <row r="8" spans="1:38" x14ac:dyDescent="0.55000000000000004">
      <c r="C8" s="9"/>
      <c r="D8" s="9"/>
      <c r="E8" s="9"/>
    </row>
    <row r="9" spans="1:38" x14ac:dyDescent="0.55000000000000004">
      <c r="F9" s="24"/>
      <c r="I9" s="24"/>
      <c r="Q9" s="23"/>
      <c r="R9" s="23"/>
    </row>
    <row r="10" spans="1:38" x14ac:dyDescent="0.55000000000000004">
      <c r="D10" s="34"/>
      <c r="E10" s="34"/>
      <c r="F10" s="34"/>
      <c r="G10" s="34"/>
      <c r="H10" s="8"/>
      <c r="I10" s="8"/>
      <c r="J10" s="24"/>
      <c r="K10" s="34"/>
      <c r="L10" s="34"/>
      <c r="M10" s="34"/>
      <c r="N10" s="34"/>
      <c r="Q10" s="22"/>
      <c r="R10" s="8"/>
    </row>
    <row r="11" spans="1:38" x14ac:dyDescent="0.55000000000000004">
      <c r="C11" s="34"/>
      <c r="D11" s="34"/>
      <c r="E11" s="34"/>
      <c r="F11" s="34"/>
      <c r="G11" s="34"/>
      <c r="H11" s="8"/>
      <c r="I11" s="8"/>
      <c r="J11" s="34"/>
      <c r="L11" s="34"/>
      <c r="M11" s="34"/>
      <c r="N11" s="18"/>
      <c r="Q11" s="22"/>
      <c r="R11" s="8"/>
    </row>
    <row r="12" spans="1:38" x14ac:dyDescent="0.55000000000000004">
      <c r="C12" s="34"/>
      <c r="D12" s="34"/>
      <c r="E12" s="34"/>
      <c r="F12" s="34"/>
      <c r="G12" s="34"/>
      <c r="J12" s="34"/>
      <c r="K12" s="34"/>
      <c r="M12" s="34"/>
      <c r="N12" s="34"/>
      <c r="Q12" s="8"/>
      <c r="R12" s="8"/>
    </row>
    <row r="13" spans="1:38" x14ac:dyDescent="0.55000000000000004">
      <c r="C13" s="34"/>
      <c r="D13" s="34"/>
      <c r="E13" s="34"/>
      <c r="F13" s="34"/>
      <c r="G13" s="34"/>
      <c r="J13" s="34"/>
      <c r="K13" s="34"/>
      <c r="L13" s="34"/>
      <c r="M13" s="34"/>
      <c r="N13" s="34"/>
      <c r="Q13" s="8"/>
      <c r="R13" s="8"/>
    </row>
    <row r="14" spans="1:38" x14ac:dyDescent="0.55000000000000004">
      <c r="C14" s="34"/>
      <c r="D14" s="34"/>
      <c r="E14" s="34"/>
      <c r="F14" s="34"/>
      <c r="G14" s="34"/>
      <c r="J14" s="34"/>
      <c r="K14" s="34"/>
      <c r="L14" s="34"/>
      <c r="M14" s="34"/>
      <c r="N14" s="34"/>
      <c r="Q14" s="8"/>
      <c r="R14" s="8"/>
    </row>
    <row r="15" spans="1:38" x14ac:dyDescent="0.55000000000000004">
      <c r="Q15" s="8"/>
      <c r="R15" s="8"/>
    </row>
    <row r="16" spans="1:38" x14ac:dyDescent="0.55000000000000004">
      <c r="R16" s="8"/>
    </row>
    <row r="17" spans="18:18" x14ac:dyDescent="0.55000000000000004">
      <c r="R17" s="8"/>
    </row>
  </sheetData>
  <mergeCells count="5">
    <mergeCell ref="A3:A4"/>
    <mergeCell ref="B3:B4"/>
    <mergeCell ref="AH3:AJ3"/>
    <mergeCell ref="T1:V1"/>
    <mergeCell ref="T2:V2"/>
  </mergeCells>
  <phoneticPr fontId="1"/>
  <conditionalFormatting sqref="C3:AG3 AE4:AG4">
    <cfRule type="expression" dxfId="45" priority="190">
      <formula>WEEKDAY(C$4)=7</formula>
    </cfRule>
    <cfRule type="expression" dxfId="44" priority="191">
      <formula>COUNTIF(祝日,C$4)=1</formula>
    </cfRule>
    <cfRule type="expression" dxfId="43" priority="192">
      <formula>WEEKDAY(C$4)=1</formula>
    </cfRule>
  </conditionalFormatting>
  <conditionalFormatting sqref="C5:AG7">
    <cfRule type="containsBlanks" dxfId="42" priority="185">
      <formula>LEN(TRIM(C5))=0</formula>
    </cfRule>
  </conditionalFormatting>
  <conditionalFormatting sqref="C4:AD4">
    <cfRule type="expression" dxfId="41" priority="174" stopIfTrue="1">
      <formula>AND(WEEKDAY(C$3,2)=6,COUNTIF(祝日,C$3)=0)</formula>
    </cfRule>
    <cfRule type="expression" dxfId="40" priority="175" stopIfTrue="1">
      <formula>WEEKDAY(C$3,2)=7</formula>
    </cfRule>
    <cfRule type="expression" dxfId="39" priority="176" stopIfTrue="1">
      <formula>OR(WEEKDAY(C$3,2)&gt;5,COUNTIF(祝日,C$3)&gt;0)</formula>
    </cfRule>
  </conditionalFormatting>
  <conditionalFormatting sqref="AG7">
    <cfRule type="expression" dxfId="38" priority="168">
      <formula>OR(AG7="前有",AG7="後有")</formula>
    </cfRule>
    <cfRule type="containsBlanks" dxfId="37" priority="169">
      <formula>LEN(TRIM(AG7))=0</formula>
    </cfRule>
    <cfRule type="cellIs" dxfId="36" priority="170" operator="equal">
      <formula>"在"</formula>
    </cfRule>
    <cfRule type="cellIs" dxfId="35" priority="171" operator="equal">
      <formula>"有"</formula>
    </cfRule>
    <cfRule type="cellIs" dxfId="34" priority="172" operator="equal">
      <formula>"優"</formula>
    </cfRule>
    <cfRule type="cellIs" dxfId="33" priority="173" operator="equal">
      <formula>"公"</formula>
    </cfRule>
  </conditionalFormatting>
  <conditionalFormatting sqref="AG7">
    <cfRule type="expression" dxfId="32" priority="164">
      <formula>LEN(AG7)=3</formula>
    </cfRule>
    <cfRule type="expression" dxfId="31" priority="167">
      <formula>LEN(AG7)=4</formula>
    </cfRule>
  </conditionalFormatting>
  <conditionalFormatting sqref="C3:AG7">
    <cfRule type="expression" dxfId="30" priority="140">
      <formula>OR(CELL("ROW")=ROW(), CELL("COL")=COLUMN())</formula>
    </cfRule>
  </conditionalFormatting>
  <conditionalFormatting sqref="C3:AF4">
    <cfRule type="expression" dxfId="29" priority="139">
      <formula>OR(CELL("ROW")=ROW(), CELL("COL")=COLUMN())</formula>
    </cfRule>
  </conditionalFormatting>
  <conditionalFormatting sqref="AE5:AE7">
    <cfRule type="expression" dxfId="28" priority="137">
      <formula>$AE$3=""</formula>
    </cfRule>
  </conditionalFormatting>
  <conditionalFormatting sqref="B5:B7">
    <cfRule type="expression" dxfId="27" priority="6">
      <formula>OR(CELL("ROW")=ROW(), CELL("COL")=COLUMN())</formula>
    </cfRule>
  </conditionalFormatting>
  <conditionalFormatting sqref="B5:B7">
    <cfRule type="expression" dxfId="26" priority="5">
      <formula>OR(CELL("ROW")=ROW(), CELL("COL")=COLUMN())</formula>
    </cfRule>
  </conditionalFormatting>
  <conditionalFormatting sqref="AF5:AF7">
    <cfRule type="expression" dxfId="25" priority="8">
      <formula>$AF$3=""</formula>
    </cfRule>
  </conditionalFormatting>
  <conditionalFormatting sqref="AG5:AG7">
    <cfRule type="expression" dxfId="24" priority="7">
      <formula>$AG$3=""</formula>
    </cfRule>
  </conditionalFormatting>
  <pageMargins left="0.7" right="0.7" top="0.75" bottom="0.75" header="0.3" footer="0.3"/>
  <pageSetup paperSize="9" scale="58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4384E-BF8A-441F-AC25-1AF6B954282A}">
  <sheetPr codeName="Sheet15"/>
  <dimension ref="A1:C27"/>
  <sheetViews>
    <sheetView workbookViewId="0">
      <selection activeCell="C4" sqref="C4"/>
    </sheetView>
  </sheetViews>
  <sheetFormatPr defaultRowHeight="18" x14ac:dyDescent="0.55000000000000004"/>
  <cols>
    <col min="1" max="1" width="16.33203125" customWidth="1"/>
    <col min="2" max="2" width="27.75" bestFit="1" customWidth="1"/>
  </cols>
  <sheetData>
    <row r="1" spans="1:3" x14ac:dyDescent="0.55000000000000004">
      <c r="A1" s="28" t="s">
        <v>20</v>
      </c>
      <c r="B1" s="29"/>
      <c r="C1" s="1" t="s">
        <v>16</v>
      </c>
    </row>
    <row r="2" spans="1:3" x14ac:dyDescent="0.55000000000000004">
      <c r="A2" s="20">
        <v>45776</v>
      </c>
      <c r="B2" s="21" t="s">
        <v>2</v>
      </c>
      <c r="C2" s="5" t="s">
        <v>17</v>
      </c>
    </row>
    <row r="3" spans="1:3" x14ac:dyDescent="0.55000000000000004">
      <c r="A3" s="20">
        <v>45780</v>
      </c>
      <c r="B3" s="21" t="s">
        <v>3</v>
      </c>
      <c r="C3" s="5" t="s">
        <v>18</v>
      </c>
    </row>
    <row r="4" spans="1:3" x14ac:dyDescent="0.55000000000000004">
      <c r="A4" s="20">
        <v>45781</v>
      </c>
      <c r="B4" s="21" t="s">
        <v>4</v>
      </c>
      <c r="C4" s="5"/>
    </row>
    <row r="5" spans="1:3" x14ac:dyDescent="0.55000000000000004">
      <c r="A5" s="20">
        <v>45417</v>
      </c>
      <c r="B5" s="21" t="s">
        <v>5</v>
      </c>
      <c r="C5" s="5"/>
    </row>
    <row r="6" spans="1:3" x14ac:dyDescent="0.55000000000000004">
      <c r="A6" s="20">
        <v>45783</v>
      </c>
      <c r="B6" s="21" t="s">
        <v>22</v>
      </c>
    </row>
    <row r="7" spans="1:3" x14ac:dyDescent="0.55000000000000004">
      <c r="A7" s="20">
        <v>45859</v>
      </c>
      <c r="B7" s="21" t="s">
        <v>6</v>
      </c>
    </row>
    <row r="8" spans="1:3" x14ac:dyDescent="0.55000000000000004">
      <c r="A8" s="20">
        <v>45880</v>
      </c>
      <c r="B8" s="21" t="s">
        <v>8</v>
      </c>
    </row>
    <row r="9" spans="1:3" x14ac:dyDescent="0.55000000000000004">
      <c r="A9" s="20">
        <v>45915</v>
      </c>
      <c r="B9" s="21" t="s">
        <v>9</v>
      </c>
    </row>
    <row r="10" spans="1:3" x14ac:dyDescent="0.55000000000000004">
      <c r="A10" s="20">
        <v>45923</v>
      </c>
      <c r="B10" s="21" t="s">
        <v>10</v>
      </c>
    </row>
    <row r="11" spans="1:3" x14ac:dyDescent="0.55000000000000004">
      <c r="A11" s="20">
        <v>45943</v>
      </c>
      <c r="B11" s="21" t="s">
        <v>7</v>
      </c>
    </row>
    <row r="12" spans="1:3" x14ac:dyDescent="0.55000000000000004">
      <c r="A12" s="20">
        <v>45964</v>
      </c>
      <c r="B12" s="21" t="s">
        <v>11</v>
      </c>
    </row>
    <row r="13" spans="1:3" x14ac:dyDescent="0.55000000000000004">
      <c r="A13" s="20">
        <v>45984</v>
      </c>
      <c r="B13" s="21" t="s">
        <v>12</v>
      </c>
    </row>
    <row r="14" spans="1:3" x14ac:dyDescent="0.55000000000000004">
      <c r="A14" s="20">
        <v>45985</v>
      </c>
      <c r="B14" s="21" t="s">
        <v>22</v>
      </c>
    </row>
    <row r="15" spans="1:3" x14ac:dyDescent="0.55000000000000004">
      <c r="A15" s="20">
        <v>46023</v>
      </c>
      <c r="B15" s="21" t="s">
        <v>23</v>
      </c>
    </row>
    <row r="16" spans="1:3" x14ac:dyDescent="0.55000000000000004">
      <c r="A16" s="20">
        <v>46034</v>
      </c>
      <c r="B16" s="21" t="s">
        <v>24</v>
      </c>
    </row>
    <row r="17" spans="1:2" x14ac:dyDescent="0.55000000000000004">
      <c r="A17" s="19">
        <v>46064</v>
      </c>
      <c r="B17" s="4" t="s">
        <v>25</v>
      </c>
    </row>
    <row r="18" spans="1:2" x14ac:dyDescent="0.55000000000000004">
      <c r="A18" s="19">
        <v>46076</v>
      </c>
      <c r="B18" s="4" t="s">
        <v>26</v>
      </c>
    </row>
    <row r="19" spans="1:2" x14ac:dyDescent="0.55000000000000004">
      <c r="A19" s="19">
        <v>46101</v>
      </c>
      <c r="B19" s="4" t="s">
        <v>27</v>
      </c>
    </row>
    <row r="20" spans="1:2" x14ac:dyDescent="0.55000000000000004">
      <c r="A20" s="4"/>
      <c r="B20" s="4"/>
    </row>
    <row r="21" spans="1:2" x14ac:dyDescent="0.55000000000000004">
      <c r="A21" s="4"/>
      <c r="B21" s="4"/>
    </row>
    <row r="22" spans="1:2" x14ac:dyDescent="0.55000000000000004">
      <c r="A22" s="4"/>
      <c r="B22" s="4"/>
    </row>
    <row r="23" spans="1:2" x14ac:dyDescent="0.55000000000000004">
      <c r="A23" s="20"/>
      <c r="B23" s="21"/>
    </row>
    <row r="24" spans="1:2" x14ac:dyDescent="0.55000000000000004">
      <c r="A24" s="19"/>
      <c r="B24" s="4"/>
    </row>
    <row r="25" spans="1:2" x14ac:dyDescent="0.55000000000000004">
      <c r="A25" s="19"/>
      <c r="B25" s="4"/>
    </row>
    <row r="26" spans="1:2" x14ac:dyDescent="0.55000000000000004">
      <c r="A26" s="2"/>
      <c r="B26" s="3"/>
    </row>
    <row r="27" spans="1:2" x14ac:dyDescent="0.55000000000000004">
      <c r="A27" s="2"/>
      <c r="B27" s="3"/>
    </row>
  </sheetData>
  <phoneticPr fontId="1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3</vt:i4>
      </vt:variant>
    </vt:vector>
  </HeadingPairs>
  <TitlesOfParts>
    <vt:vector size="5" baseType="lpstr">
      <vt:lpstr>月</vt:lpstr>
      <vt:lpstr>リスト</vt:lpstr>
      <vt:lpstr>月!Print_Area</vt:lpstr>
      <vt:lpstr>リスト!祝日</vt:lpstr>
      <vt:lpstr>祝日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2026-03-31T15:27:19Z</dcterms:created>
  <dcterms:modified xsi:type="dcterms:W3CDTF">2026-03-31T15:28:57Z</dcterms:modified>
</cp:coreProperties>
</file>